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호선 상권밀도비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<sst xmlns="http://schemas.openxmlformats.org/spreadsheetml/2006/main" count="52" uniqueCount="52">
  <si>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역번호</t>
  </si>
  <si>
    <t xml:space="preserve">역명</t>
  </si>
  <si>
    <t xml:space="preserve">상가수_300m</t>
  </si>
  <si>
    <t xml:space="preserve">상가수_500m</t>
  </si>
  <si>
    <t xml:space="preserve">일평균승하차</t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</si>
  <si>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상가수</t>
    </r>
    <r>
      <rPr>
        <b val="true"/>
        <sz val="10"/>
        <color rgb="FFFFFFFF"/>
        <rFont val="Arial"/>
        <family val="0"/>
        <charset val="1"/>
      </rPr>
      <t xml:space="preserve">300m+</t>
    </r>
    <r>
      <rPr>
        <b val="true"/>
        <sz val="10"/>
        <color rgb="FFFFFFFF"/>
        <rFont val="Noto Sans CJK SC"/>
        <family val="2"/>
      </rPr>
      <t xml:space="preserve">상가수</t>
    </r>
    <r>
      <rPr>
        <b val="true"/>
        <sz val="10"/>
        <color rgb="FFFFFFFF"/>
        <rFont val="Arial"/>
        <family val="0"/>
        <charset val="1"/>
      </rPr>
      <t xml:space="preserve">500m)/</t>
    </r>
    <r>
      <rPr>
        <b val="true"/>
        <sz val="10"/>
        <color rgb="FFFFFFFF"/>
        <rFont val="Noto Sans CJK SC"/>
        <family val="2"/>
      </rPr>
      <t xml:space="preserve">일평균승하차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</si>
  <si>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상가수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(300m+500m)</t>
    </r>
  </si>
  <si>
    <r>
      <rPr>
        <b val="true"/>
        <sz val="10"/>
        <color rgb="FFFFFFFF"/>
        <rFont val="Noto Sans CJK SC"/>
        <family val="2"/>
      </rPr>
      <t xml:space="preserve">일평균승하차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</si>
  <si>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상가수 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</si>
  <si>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장산</t>
  </si>
  <si>
    <t xml:space="preserve">중동</t>
  </si>
  <si>
    <t xml:space="preserve">해운대</t>
  </si>
  <si>
    <t xml:space="preserve">동백</t>
  </si>
  <si>
    <t xml:space="preserve">벡스코</t>
  </si>
  <si>
    <t xml:space="preserve">센텀시티</t>
  </si>
  <si>
    <t xml:space="preserve">민락</t>
  </si>
  <si>
    <t xml:space="preserve">수영</t>
  </si>
  <si>
    <t xml:space="preserve">광안</t>
  </si>
  <si>
    <t xml:space="preserve">금련산</t>
  </si>
  <si>
    <t xml:space="preserve">남천</t>
  </si>
  <si>
    <t xml:space="preserve">경성대부경대</t>
  </si>
  <si>
    <t xml:space="preserve">대연</t>
  </si>
  <si>
    <t xml:space="preserve">못골</t>
  </si>
  <si>
    <t xml:space="preserve">지게골</t>
  </si>
  <si>
    <t xml:space="preserve">문현</t>
  </si>
  <si>
    <t xml:space="preserve">국제금융센터부산은행</t>
  </si>
  <si>
    <t xml:space="preserve">전포</t>
  </si>
  <si>
    <t xml:space="preserve">서면</t>
  </si>
  <si>
    <t xml:space="preserve">부암</t>
  </si>
  <si>
    <t xml:space="preserve">가야</t>
  </si>
  <si>
    <t xml:space="preserve">동의대</t>
  </si>
  <si>
    <t xml:space="preserve">개금</t>
  </si>
  <si>
    <t xml:space="preserve">냉정</t>
  </si>
  <si>
    <t xml:space="preserve">주례</t>
  </si>
  <si>
    <t xml:space="preserve">감전</t>
  </si>
  <si>
    <t xml:space="preserve">사상</t>
  </si>
  <si>
    <t xml:space="preserve">덕포</t>
  </si>
  <si>
    <t xml:space="preserve">모덕</t>
  </si>
  <si>
    <t xml:space="preserve">모라</t>
  </si>
  <si>
    <t xml:space="preserve">구남</t>
  </si>
  <si>
    <t xml:space="preserve">구명</t>
  </si>
  <si>
    <t xml:space="preserve">덕천</t>
  </si>
  <si>
    <t xml:space="preserve">수정</t>
  </si>
  <si>
    <t xml:space="preserve">화명</t>
  </si>
  <si>
    <t xml:space="preserve">율리</t>
  </si>
  <si>
    <t xml:space="preserve">동원</t>
  </si>
  <si>
    <t xml:space="preserve">금곡</t>
  </si>
  <si>
    <t xml:space="preserve">호포</t>
  </si>
  <si>
    <t xml:space="preserve">증산</t>
  </si>
  <si>
    <t xml:space="preserve">부산대양산캠퍼스</t>
  </si>
  <si>
    <t xml:space="preserve">남양산</t>
  </si>
  <si>
    <t xml:space="preserve">양산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</si>
</sst>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5" min="3" style="1" width="12"/>
    <col collapsed="false" customWidth="true" hidden="false" outlineLevel="0" max="6" min="6" style="1" width="3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9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true" outlineLevel="0" collapsed="false">
      <c r="A2" s="5" t="n">
        <v>201</v>
      </c>
      <c r="B2" s="6" t="s">
        <v>9</v>
      </c>
      <c r="C2" s="5" t="n">
        <v>1615</v>
      </c>
      <c r="D2" s="5" t="n">
        <v>2089</v>
      </c>
      <c r="E2" s="5" t="n">
        <v>30325</v>
      </c>
      <c r="F2" s="7" t="n">
        <f aca="false">ROUND((C2+D2)/E2,5)</f>
        <v>0.12214</v>
      </c>
      <c r="G2" s="5" t="n">
        <f aca="false">C2+D2</f>
        <v>3704</v>
      </c>
      <c r="H2" s="7" t="n">
        <f aca="false">E2/SUM($E$2:$E$44)</f>
        <v>0.0447519568374202</v>
      </c>
      <c r="I2" s="7" t="n">
        <f aca="false">G2/SUM($G$2:$G$44)</f>
        <v>0.0622835042878762</v>
      </c>
    </row>
    <row r="3" customFormat="false" ht="15" hidden="false" customHeight="true" outlineLevel="0" collapsed="false">
      <c r="A3" s="5" t="n">
        <v>202</v>
      </c>
      <c r="B3" s="6" t="s">
        <v>10</v>
      </c>
      <c r="C3" s="5" t="n">
        <v>496</v>
      </c>
      <c r="D3" s="5" t="n">
        <v>820</v>
      </c>
      <c r="E3" s="5" t="n">
        <v>16148</v>
      </c>
      <c r="F3" s="7" t="n">
        <f aca="false">ROUND((C3+D3)/E3,5)</f>
        <v>0.0815</v>
      </c>
      <c r="G3" s="5" t="n">
        <f aca="false">C3+D3</f>
        <v>1316</v>
      </c>
      <c r="H3" s="7" t="n">
        <f aca="false">E3/SUM($E$2:$E$44)</f>
        <v>0.0238303247818849</v>
      </c>
      <c r="I3" s="7" t="n">
        <f aca="false">G3/SUM($G$2:$G$44)</f>
        <v>0.0221288044392131</v>
      </c>
    </row>
    <row r="4" customFormat="false" ht="15" hidden="false" customHeight="true" outlineLevel="0" collapsed="false">
      <c r="A4" s="5" t="n">
        <v>203</v>
      </c>
      <c r="B4" s="6" t="s">
        <v>11</v>
      </c>
      <c r="C4" s="5" t="n">
        <v>770</v>
      </c>
      <c r="D4" s="5" t="n">
        <v>1742</v>
      </c>
      <c r="E4" s="5" t="n">
        <v>31327</v>
      </c>
      <c r="F4" s="7" t="n">
        <f aca="false">ROUND((C4+D4)/E4,5)</f>
        <v>0.08019</v>
      </c>
      <c r="G4" s="5" t="n">
        <f aca="false">C4+D4</f>
        <v>2512</v>
      </c>
      <c r="H4" s="7" t="n">
        <f aca="false">E4/SUM($E$2:$E$44)</f>
        <v>0.0462306529874975</v>
      </c>
      <c r="I4" s="7" t="n">
        <f aca="false">G4/SUM($G$2:$G$44)</f>
        <v>0.0422397847654279</v>
      </c>
    </row>
    <row r="5" customFormat="false" ht="15" hidden="false" customHeight="true" outlineLevel="0" collapsed="false">
      <c r="A5" s="5" t="n">
        <v>204</v>
      </c>
      <c r="B5" s="6" t="s">
        <v>12</v>
      </c>
      <c r="C5" s="5" t="n">
        <v>89</v>
      </c>
      <c r="D5" s="5" t="n">
        <v>543</v>
      </c>
      <c r="E5" s="5" t="n">
        <v>14291</v>
      </c>
      <c r="F5" s="7" t="n">
        <f aca="false">ROUND((C5+D5)/E5,5)</f>
        <v>0.04422</v>
      </c>
      <c r="G5" s="5" t="n">
        <f aca="false">C5+D5</f>
        <v>632</v>
      </c>
      <c r="H5" s="7" t="n">
        <f aca="false">E5/SUM($E$2:$E$44)</f>
        <v>0.0210898669468614</v>
      </c>
      <c r="I5" s="7" t="n">
        <f aca="false">G5/SUM($G$2:$G$44)</f>
        <v>0.0106272069951236</v>
      </c>
    </row>
    <row r="6" customFormat="false" ht="15" hidden="false" customHeight="true" outlineLevel="0" collapsed="false">
      <c r="A6" s="5" t="n">
        <v>205</v>
      </c>
      <c r="B6" s="6" t="s">
        <v>13</v>
      </c>
      <c r="C6" s="5" t="n">
        <v>253</v>
      </c>
      <c r="D6" s="5" t="n">
        <v>402</v>
      </c>
      <c r="E6" s="5" t="n">
        <v>21705</v>
      </c>
      <c r="F6" s="7" t="n">
        <f aca="false">ROUND((C6+D6)/E6,5)</f>
        <v>0.03018</v>
      </c>
      <c r="G6" s="5" t="n">
        <f aca="false">C6+D6</f>
        <v>655</v>
      </c>
      <c r="H6" s="7" t="n">
        <f aca="false">E6/SUM($E$2:$E$44)</f>
        <v>0.032031037861705</v>
      </c>
      <c r="I6" s="7" t="n">
        <f aca="false">G6/SUM($G$2:$G$44)</f>
        <v>0.0110139566167816</v>
      </c>
    </row>
    <row r="7" customFormat="false" ht="15" hidden="false" customHeight="true" outlineLevel="0" collapsed="false">
      <c r="A7" s="5" t="n">
        <v>206</v>
      </c>
      <c r="B7" s="6" t="s">
        <v>14</v>
      </c>
      <c r="C7" s="5" t="n">
        <v>986</v>
      </c>
      <c r="D7" s="5" t="n">
        <v>1742</v>
      </c>
      <c r="E7" s="5" t="n">
        <v>42151</v>
      </c>
      <c r="F7" s="7" t="n">
        <f aca="false">ROUND((C7+D7)/E7,5)</f>
        <v>0.06472</v>
      </c>
      <c r="G7" s="5" t="n">
        <f aca="false">C7+D7</f>
        <v>2728</v>
      </c>
      <c r="H7" s="7" t="n">
        <f aca="false">E7/SUM($E$2:$E$44)</f>
        <v>0.0622041131955185</v>
      </c>
      <c r="I7" s="7" t="n">
        <f aca="false">G7/SUM($G$2:$G$44)</f>
        <v>0.0458718681688246</v>
      </c>
    </row>
    <row r="8" customFormat="false" ht="15" hidden="false" customHeight="true" outlineLevel="0" collapsed="false">
      <c r="A8" s="5" t="n">
        <v>207</v>
      </c>
      <c r="B8" s="6" t="s">
        <v>15</v>
      </c>
      <c r="C8" s="5" t="n">
        <v>262</v>
      </c>
      <c r="D8" s="5" t="n">
        <v>778</v>
      </c>
      <c r="E8" s="5" t="n">
        <v>7342</v>
      </c>
      <c r="F8" s="7" t="n">
        <f aca="false">ROUND((C8+D8)/E8,5)</f>
        <v>0.14165</v>
      </c>
      <c r="G8" s="5" t="n">
        <f aca="false">C8+D8</f>
        <v>1040</v>
      </c>
      <c r="H8" s="7" t="n">
        <f aca="false">E8/SUM($E$2:$E$44)</f>
        <v>0.0108349172992692</v>
      </c>
      <c r="I8" s="7" t="n">
        <f aca="false">G8/SUM($G$2:$G$44)</f>
        <v>0.0174878089793173</v>
      </c>
    </row>
    <row r="9" customFormat="false" ht="15" hidden="false" customHeight="true" outlineLevel="0" collapsed="false">
      <c r="A9" s="5" t="n">
        <v>208</v>
      </c>
      <c r="B9" s="6" t="s">
        <v>16</v>
      </c>
      <c r="C9" s="5" t="n">
        <v>984</v>
      </c>
      <c r="D9" s="5" t="n">
        <v>1671</v>
      </c>
      <c r="E9" s="5" t="n">
        <v>31242</v>
      </c>
      <c r="F9" s="7" t="n">
        <f aca="false">ROUND((C9+D9)/E9,5)</f>
        <v>0.08498</v>
      </c>
      <c r="G9" s="5" t="n">
        <f aca="false">C9+D9</f>
        <v>2655</v>
      </c>
      <c r="H9" s="7" t="n">
        <f aca="false">E9/SUM($E$2:$E$44)</f>
        <v>0.0461052146913332</v>
      </c>
      <c r="I9" s="7" t="n">
        <f aca="false">G9/SUM($G$2:$G$44)</f>
        <v>0.0446443585000841</v>
      </c>
    </row>
    <row r="10" customFormat="false" ht="15" hidden="false" customHeight="true" outlineLevel="0" collapsed="false">
      <c r="A10" s="5" t="n">
        <v>209</v>
      </c>
      <c r="B10" s="6" t="s">
        <v>17</v>
      </c>
      <c r="C10" s="5" t="n">
        <v>505</v>
      </c>
      <c r="D10" s="5" t="n">
        <v>1051</v>
      </c>
      <c r="E10" s="5" t="n">
        <v>23826</v>
      </c>
      <c r="F10" s="7" t="n">
        <f aca="false">ROUND((C10+D10)/E10,5)</f>
        <v>0.06531</v>
      </c>
      <c r="G10" s="5" t="n">
        <f aca="false">C10+D10</f>
        <v>1556</v>
      </c>
      <c r="H10" s="7" t="n">
        <f aca="false">E10/SUM($E$2:$E$44)</f>
        <v>0.0351610922871681</v>
      </c>
      <c r="I10" s="7" t="n">
        <f aca="false">G10/SUM($G$2:$G$44)</f>
        <v>0.0261644526652094</v>
      </c>
    </row>
    <row r="11" customFormat="false" ht="15" hidden="false" customHeight="true" outlineLevel="0" collapsed="false">
      <c r="A11" s="5" t="n">
        <v>210</v>
      </c>
      <c r="B11" s="6" t="s">
        <v>18</v>
      </c>
      <c r="C11" s="5" t="n">
        <v>448</v>
      </c>
      <c r="D11" s="5" t="n">
        <v>1272</v>
      </c>
      <c r="E11" s="5" t="n">
        <v>17325</v>
      </c>
      <c r="F11" s="7" t="n">
        <f aca="false">ROUND((C11+D11)/E11,5)</f>
        <v>0.09928</v>
      </c>
      <c r="G11" s="5" t="n">
        <f aca="false">C11+D11</f>
        <v>1720</v>
      </c>
      <c r="H11" s="7" t="n">
        <f aca="false">E11/SUM($E$2:$E$44)</f>
        <v>0.0255672762475945</v>
      </c>
      <c r="I11" s="7" t="n">
        <f aca="false">G11/SUM($G$2:$G$44)</f>
        <v>0.0289221456196402</v>
      </c>
    </row>
    <row r="12" customFormat="false" ht="15" hidden="false" customHeight="true" outlineLevel="0" collapsed="false">
      <c r="A12" s="5" t="n">
        <v>211</v>
      </c>
      <c r="B12" s="6" t="s">
        <v>19</v>
      </c>
      <c r="C12" s="5" t="n">
        <v>632</v>
      </c>
      <c r="D12" s="5" t="n">
        <v>1232</v>
      </c>
      <c r="E12" s="5" t="n">
        <v>16679</v>
      </c>
      <c r="F12" s="7" t="n">
        <f aca="false">ROUND((C12+D12)/E12,5)</f>
        <v>0.11176</v>
      </c>
      <c r="G12" s="5" t="n">
        <f aca="false">C12+D12</f>
        <v>1864</v>
      </c>
      <c r="H12" s="7" t="n">
        <f aca="false">E12/SUM($E$2:$E$44)</f>
        <v>0.0246139451967463</v>
      </c>
      <c r="I12" s="7" t="n">
        <f aca="false">G12/SUM($G$2:$G$44)</f>
        <v>0.0313435345552379</v>
      </c>
    </row>
    <row r="13" customFormat="false" ht="15" hidden="false" customHeight="true" outlineLevel="0" collapsed="false">
      <c r="A13" s="5" t="n">
        <v>212</v>
      </c>
      <c r="B13" s="6" t="s">
        <v>20</v>
      </c>
      <c r="C13" s="5" t="n">
        <v>1361</v>
      </c>
      <c r="D13" s="5" t="n">
        <v>1933</v>
      </c>
      <c r="E13" s="5" t="n">
        <v>33488</v>
      </c>
      <c r="F13" s="7" t="n">
        <f aca="false">ROUND((C13+D13)/E13,5)</f>
        <v>0.09836</v>
      </c>
      <c r="G13" s="5" t="n">
        <f aca="false">C13+D13</f>
        <v>3294</v>
      </c>
      <c r="H13" s="7" t="n">
        <f aca="false">E13/SUM($E$2:$E$44)</f>
        <v>0.0494197371993908</v>
      </c>
      <c r="I13" s="7" t="n">
        <f aca="false">G13/SUM($G$2:$G$44)</f>
        <v>0.0553892719017992</v>
      </c>
    </row>
    <row r="14" customFormat="false" ht="15" hidden="false" customHeight="true" outlineLevel="0" collapsed="false">
      <c r="A14" s="5" t="n">
        <v>213</v>
      </c>
      <c r="B14" s="6" t="s">
        <v>21</v>
      </c>
      <c r="C14" s="5" t="n">
        <v>753</v>
      </c>
      <c r="D14" s="5" t="n">
        <v>1499</v>
      </c>
      <c r="E14" s="5" t="n">
        <v>20127</v>
      </c>
      <c r="F14" s="7" t="n">
        <f aca="false">ROUND((C14+D14)/E14,5)</f>
        <v>0.11189</v>
      </c>
      <c r="G14" s="5" t="n">
        <f aca="false">C14+D14</f>
        <v>2252</v>
      </c>
      <c r="H14" s="7" t="n">
        <f aca="false">E14/SUM($E$2:$E$44)</f>
        <v>0.0297023127870323</v>
      </c>
      <c r="I14" s="7" t="n">
        <f aca="false">G14/SUM($G$2:$G$44)</f>
        <v>0.0378678325205986</v>
      </c>
    </row>
    <row r="15" customFormat="false" ht="15" hidden="false" customHeight="true" outlineLevel="0" collapsed="false">
      <c r="A15" s="5" t="n">
        <v>214</v>
      </c>
      <c r="B15" s="6" t="s">
        <v>22</v>
      </c>
      <c r="C15" s="5" t="n">
        <v>231</v>
      </c>
      <c r="D15" s="5" t="n">
        <v>750</v>
      </c>
      <c r="E15" s="5" t="n">
        <v>10394</v>
      </c>
      <c r="F15" s="7" t="n">
        <f aca="false">ROUND((C15+D15)/E15,5)</f>
        <v>0.09438</v>
      </c>
      <c r="G15" s="5" t="n">
        <f aca="false">C15+D15</f>
        <v>981</v>
      </c>
      <c r="H15" s="7" t="n">
        <f aca="false">E15/SUM($E$2:$E$44)</f>
        <v>0.015338890003896</v>
      </c>
      <c r="I15" s="7" t="n">
        <f aca="false">G15/SUM($G$2:$G$44)</f>
        <v>0.0164957121237599</v>
      </c>
    </row>
    <row r="16" customFormat="false" ht="15" hidden="false" customHeight="true" outlineLevel="0" collapsed="false">
      <c r="A16" s="5" t="n">
        <v>215</v>
      </c>
      <c r="B16" s="6" t="s">
        <v>23</v>
      </c>
      <c r="C16" s="5" t="n">
        <v>161</v>
      </c>
      <c r="D16" s="5" t="n">
        <v>400</v>
      </c>
      <c r="E16" s="5" t="n">
        <v>5715</v>
      </c>
      <c r="F16" s="7" t="n">
        <f aca="false">ROUND((C16+D16)/E16,5)</f>
        <v>0.09816</v>
      </c>
      <c r="G16" s="5" t="n">
        <f aca="false">C16+D16</f>
        <v>561</v>
      </c>
      <c r="H16" s="7" t="n">
        <f aca="false">E16/SUM($E$2:$E$44)</f>
        <v>0.0084338807362195</v>
      </c>
      <c r="I16" s="7" t="n">
        <f aca="false">G16/SUM($G$2:$G$44)</f>
        <v>0.00943332772826635</v>
      </c>
    </row>
    <row r="17" customFormat="false" ht="15" hidden="false" customHeight="true" outlineLevel="0" collapsed="false">
      <c r="A17" s="5" t="n">
        <v>216</v>
      </c>
      <c r="B17" s="6" t="s">
        <v>24</v>
      </c>
      <c r="C17" s="5" t="n">
        <v>219</v>
      </c>
      <c r="D17" s="5" t="n">
        <v>910</v>
      </c>
      <c r="E17" s="5" t="n">
        <v>10147</v>
      </c>
      <c r="F17" s="7" t="n">
        <f aca="false">ROUND((C17+D17)/E17,5)</f>
        <v>0.11126</v>
      </c>
      <c r="G17" s="5" t="n">
        <f aca="false">C17+D17</f>
        <v>1129</v>
      </c>
      <c r="H17" s="7" t="n">
        <f aca="false">E17/SUM($E$2:$E$44)</f>
        <v>0.0149743810726893</v>
      </c>
      <c r="I17" s="7" t="n">
        <f aca="false">G17/SUM($G$2:$G$44)</f>
        <v>0.0189843618631243</v>
      </c>
    </row>
    <row r="18" customFormat="false" ht="15" hidden="false" customHeight="true" outlineLevel="0" collapsed="false">
      <c r="A18" s="5" t="n">
        <v>217</v>
      </c>
      <c r="B18" s="6" t="s">
        <v>25</v>
      </c>
      <c r="C18" s="5" t="n">
        <v>333</v>
      </c>
      <c r="D18" s="5" t="n">
        <v>672</v>
      </c>
      <c r="E18" s="5" t="n">
        <v>10395</v>
      </c>
      <c r="F18" s="7" t="n">
        <f aca="false">ROUND((C18+D18)/E18,5)</f>
        <v>0.09668</v>
      </c>
      <c r="G18" s="5" t="n">
        <f aca="false">C18+D18</f>
        <v>1005</v>
      </c>
      <c r="H18" s="7" t="n">
        <f aca="false">E18/SUM($E$2:$E$44)</f>
        <v>0.0153403657485567</v>
      </c>
      <c r="I18" s="7" t="n">
        <f aca="false">G18/SUM($G$2:$G$44)</f>
        <v>0.0168992769463595</v>
      </c>
    </row>
    <row r="19" customFormat="false" ht="15" hidden="false" customHeight="true" outlineLevel="0" collapsed="false">
      <c r="A19" s="5" t="n">
        <v>218</v>
      </c>
      <c r="B19" s="6" t="s">
        <v>26</v>
      </c>
      <c r="C19" s="5" t="n">
        <v>1018</v>
      </c>
      <c r="D19" s="5" t="n">
        <v>2381</v>
      </c>
      <c r="E19" s="5" t="n">
        <v>21343</v>
      </c>
      <c r="F19" s="7" t="n">
        <f aca="false">ROUND((C19+D19)/E19,5)</f>
        <v>0.15926</v>
      </c>
      <c r="G19" s="5" t="n">
        <f aca="false">C19+D19</f>
        <v>3399</v>
      </c>
      <c r="H19" s="7" t="n">
        <f aca="false">E19/SUM($E$2:$E$44)</f>
        <v>0.0314968182945114</v>
      </c>
      <c r="I19" s="7" t="n">
        <f aca="false">G19/SUM($G$2:$G$44)</f>
        <v>0.0571548680006726</v>
      </c>
    </row>
    <row r="20" customFormat="false" ht="15" hidden="false" customHeight="true" outlineLevel="0" collapsed="false">
      <c r="A20" s="5" t="n">
        <v>219</v>
      </c>
      <c r="B20" s="6" t="s">
        <v>27</v>
      </c>
      <c r="C20" s="5" t="n">
        <v>2641</v>
      </c>
      <c r="D20" s="5" t="n">
        <v>6042</v>
      </c>
      <c r="E20" s="5" t="n">
        <v>51418</v>
      </c>
      <c r="F20" s="7" t="n">
        <f aca="false">ROUND((C20+D20)/E20,5)</f>
        <v>0.16887</v>
      </c>
      <c r="G20" s="5" t="n">
        <f aca="false">C20+D20</f>
        <v>8683</v>
      </c>
      <c r="H20" s="7" t="n">
        <f aca="false">E20/SUM($E$2:$E$44)</f>
        <v>0.0758798389667426</v>
      </c>
      <c r="I20" s="7" t="n">
        <f aca="false">G20/SUM($G$2:$G$44)</f>
        <v>0.146006389776358</v>
      </c>
    </row>
    <row r="21" customFormat="false" ht="15" hidden="false" customHeight="true" outlineLevel="0" collapsed="false">
      <c r="A21" s="5" t="n">
        <v>220</v>
      </c>
      <c r="B21" s="6" t="s">
        <v>28</v>
      </c>
      <c r="C21" s="5" t="n">
        <v>245</v>
      </c>
      <c r="D21" s="5" t="n">
        <v>741</v>
      </c>
      <c r="E21" s="5" t="n">
        <v>12345</v>
      </c>
      <c r="F21" s="7" t="n">
        <f aca="false">ROUND((C21+D21)/E21,5)</f>
        <v>0.07987</v>
      </c>
      <c r="G21" s="5" t="n">
        <f aca="false">C21+D21</f>
        <v>986</v>
      </c>
      <c r="H21" s="7" t="n">
        <f aca="false">E21/SUM($E$2:$E$44)</f>
        <v>0.0182180678370306</v>
      </c>
      <c r="I21" s="7" t="n">
        <f aca="false">G21/SUM($G$2:$G$44)</f>
        <v>0.0165797881284681</v>
      </c>
    </row>
    <row r="22" customFormat="false" ht="15" hidden="false" customHeight="true" outlineLevel="0" collapsed="false">
      <c r="A22" s="5" t="n">
        <v>221</v>
      </c>
      <c r="B22" s="6" t="s">
        <v>29</v>
      </c>
      <c r="C22" s="5" t="n">
        <v>148</v>
      </c>
      <c r="D22" s="5" t="n">
        <v>281</v>
      </c>
      <c r="E22" s="5" t="n">
        <v>7209</v>
      </c>
      <c r="F22" s="7" t="n">
        <f aca="false">ROUND((C22+D22)/E22,5)</f>
        <v>0.05951</v>
      </c>
      <c r="G22" s="5" t="n">
        <f aca="false">C22+D22</f>
        <v>429</v>
      </c>
      <c r="H22" s="7" t="n">
        <f aca="false">E22/SUM($E$2:$E$44)</f>
        <v>0.0106386432593887</v>
      </c>
      <c r="I22" s="7" t="n">
        <f aca="false">G22/SUM($G$2:$G$44)</f>
        <v>0.00721372120396839</v>
      </c>
    </row>
    <row r="23" customFormat="false" ht="15" hidden="false" customHeight="true" outlineLevel="0" collapsed="false">
      <c r="A23" s="5" t="n">
        <v>222</v>
      </c>
      <c r="B23" s="6" t="s">
        <v>30</v>
      </c>
      <c r="C23" s="5" t="n">
        <v>159</v>
      </c>
      <c r="D23" s="5" t="n">
        <v>511</v>
      </c>
      <c r="E23" s="5" t="n">
        <v>12926</v>
      </c>
      <c r="F23" s="7" t="n">
        <f aca="false">ROUND((C23+D23)/E23,5)</f>
        <v>0.05183</v>
      </c>
      <c r="G23" s="5" t="n">
        <f aca="false">C23+D23</f>
        <v>670</v>
      </c>
      <c r="H23" s="7" t="n">
        <f aca="false">E23/SUM($E$2:$E$44)</f>
        <v>0.0190754754849297</v>
      </c>
      <c r="I23" s="7" t="n">
        <f aca="false">G23/SUM($G$2:$G$44)</f>
        <v>0.0112661846309063</v>
      </c>
    </row>
    <row r="24" customFormat="false" ht="15" hidden="false" customHeight="true" outlineLevel="0" collapsed="false">
      <c r="A24" s="5" t="n">
        <v>223</v>
      </c>
      <c r="B24" s="6" t="s">
        <v>31</v>
      </c>
      <c r="C24" s="5" t="n">
        <v>365</v>
      </c>
      <c r="D24" s="5" t="n">
        <v>998</v>
      </c>
      <c r="E24" s="5" t="n">
        <v>16531</v>
      </c>
      <c r="F24" s="7" t="n">
        <f aca="false">ROUND((C24+D24)/E24,5)</f>
        <v>0.08245</v>
      </c>
      <c r="G24" s="5" t="n">
        <f aca="false">C24+D24</f>
        <v>1363</v>
      </c>
      <c r="H24" s="7" t="n">
        <f aca="false">E24/SUM($E$2:$E$44)</f>
        <v>0.0243955349869544</v>
      </c>
      <c r="I24" s="7" t="n">
        <f aca="false">G24/SUM($G$2:$G$44)</f>
        <v>0.0229191188834707</v>
      </c>
    </row>
    <row r="25" customFormat="false" ht="15" hidden="false" customHeight="true" outlineLevel="0" collapsed="false">
      <c r="A25" s="5" t="n">
        <v>224</v>
      </c>
      <c r="B25" s="6" t="s">
        <v>32</v>
      </c>
      <c r="C25" s="5" t="n">
        <v>397</v>
      </c>
      <c r="D25" s="5" t="n">
        <v>678</v>
      </c>
      <c r="E25" s="5" t="n">
        <v>11579</v>
      </c>
      <c r="F25" s="7" t="n">
        <f aca="false">ROUND((C25+D25)/E25,5)</f>
        <v>0.09284</v>
      </c>
      <c r="G25" s="5" t="n">
        <f aca="false">C25+D25</f>
        <v>1075</v>
      </c>
      <c r="H25" s="7" t="n">
        <f aca="false">E25/SUM($E$2:$E$44)</f>
        <v>0.0170876474268916</v>
      </c>
      <c r="I25" s="7" t="n">
        <f aca="false">G25/SUM($G$2:$G$44)</f>
        <v>0.0180763410122751</v>
      </c>
    </row>
    <row r="26" customFormat="false" ht="15" hidden="false" customHeight="true" outlineLevel="0" collapsed="false">
      <c r="A26" s="5" t="n">
        <v>225</v>
      </c>
      <c r="B26" s="6" t="s">
        <v>33</v>
      </c>
      <c r="C26" s="5" t="n">
        <v>329</v>
      </c>
      <c r="D26" s="5" t="n">
        <v>603</v>
      </c>
      <c r="E26" s="5" t="n">
        <v>13763</v>
      </c>
      <c r="F26" s="7" t="n">
        <f aca="false">ROUND((C26+D26)/E26,5)</f>
        <v>0.06772</v>
      </c>
      <c r="G26" s="5" t="n">
        <f aca="false">C26+D26</f>
        <v>932</v>
      </c>
      <c r="H26" s="7" t="n">
        <f aca="false">E26/SUM($E$2:$E$44)</f>
        <v>0.0203106737659823</v>
      </c>
      <c r="I26" s="7" t="n">
        <f aca="false">G26/SUM($G$2:$G$44)</f>
        <v>0.015671767277619</v>
      </c>
    </row>
    <row r="27" customFormat="false" ht="15" hidden="false" customHeight="true" outlineLevel="0" collapsed="false">
      <c r="A27" s="5" t="n">
        <v>226</v>
      </c>
      <c r="B27" s="6" t="s">
        <v>34</v>
      </c>
      <c r="C27" s="5" t="n">
        <v>231</v>
      </c>
      <c r="D27" s="5" t="n">
        <v>525</v>
      </c>
      <c r="E27" s="5" t="n">
        <v>7926</v>
      </c>
      <c r="F27" s="7" t="n">
        <f aca="false">ROUND((C27+D27)/E27,5)</f>
        <v>0.09538</v>
      </c>
      <c r="G27" s="5" t="n">
        <f aca="false">C27+D27</f>
        <v>756</v>
      </c>
      <c r="H27" s="7" t="n">
        <f aca="false">E27/SUM($E$2:$E$44)</f>
        <v>0.0116967521811506</v>
      </c>
      <c r="I27" s="7" t="n">
        <f aca="false">G27/SUM($G$2:$G$44)</f>
        <v>0.0127122919118883</v>
      </c>
    </row>
    <row r="28" customFormat="false" ht="15" hidden="false" customHeight="true" outlineLevel="0" collapsed="false">
      <c r="A28" s="5" t="n">
        <v>227</v>
      </c>
      <c r="B28" s="6" t="s">
        <v>35</v>
      </c>
      <c r="C28" s="5" t="n">
        <v>178</v>
      </c>
      <c r="D28" s="5" t="n">
        <v>762</v>
      </c>
      <c r="E28" s="5" t="n">
        <v>46549</v>
      </c>
      <c r="F28" s="7" t="n">
        <f aca="false">ROUND((C28+D28)/E28,5)</f>
        <v>0.02019</v>
      </c>
      <c r="G28" s="5" t="n">
        <f aca="false">C28+D28</f>
        <v>940</v>
      </c>
      <c r="H28" s="7" t="n">
        <f aca="false">E28/SUM($E$2:$E$44)</f>
        <v>0.0686944382135225</v>
      </c>
      <c r="I28" s="7" t="n">
        <f aca="false">G28/SUM($G$2:$G$44)</f>
        <v>0.0158062888851522</v>
      </c>
    </row>
    <row r="29" customFormat="false" ht="15" hidden="false" customHeight="true" outlineLevel="0" collapsed="false">
      <c r="A29" s="5" t="n">
        <v>228</v>
      </c>
      <c r="B29" s="6" t="s">
        <v>36</v>
      </c>
      <c r="C29" s="5" t="n">
        <v>325</v>
      </c>
      <c r="D29" s="5" t="n">
        <v>794</v>
      </c>
      <c r="E29" s="5" t="n">
        <v>9436</v>
      </c>
      <c r="F29" s="7" t="n">
        <f aca="false">ROUND((C29+D29)/E29,5)</f>
        <v>0.11859</v>
      </c>
      <c r="G29" s="5" t="n">
        <f aca="false">C29+D29</f>
        <v>1119</v>
      </c>
      <c r="H29" s="7" t="n">
        <f aca="false">E29/SUM($E$2:$E$44)</f>
        <v>0.0139251266188919</v>
      </c>
      <c r="I29" s="7" t="n">
        <f aca="false">G29/SUM($G$2:$G$44)</f>
        <v>0.0188162098537078</v>
      </c>
    </row>
    <row r="30" customFormat="false" ht="15" hidden="false" customHeight="true" outlineLevel="0" collapsed="false">
      <c r="A30" s="5" t="n">
        <v>229</v>
      </c>
      <c r="B30" s="6" t="s">
        <v>37</v>
      </c>
      <c r="C30" s="5" t="n">
        <v>97</v>
      </c>
      <c r="D30" s="5" t="n">
        <v>214</v>
      </c>
      <c r="E30" s="5" t="n">
        <v>3827</v>
      </c>
      <c r="F30" s="7" t="n">
        <f aca="false">ROUND((C30+D30)/E30,5)</f>
        <v>0.08126</v>
      </c>
      <c r="G30" s="5" t="n">
        <f aca="false">C30+D30</f>
        <v>311</v>
      </c>
      <c r="H30" s="7" t="n">
        <f aca="false">E30/SUM($E$2:$E$44)</f>
        <v>0.00564767481671251</v>
      </c>
      <c r="I30" s="7" t="n">
        <f aca="false">G30/SUM($G$2:$G$44)</f>
        <v>0.00522952749285354</v>
      </c>
    </row>
    <row r="31" customFormat="false" ht="15" hidden="false" customHeight="true" outlineLevel="0" collapsed="false">
      <c r="A31" s="5" t="n">
        <v>230</v>
      </c>
      <c r="B31" s="6" t="s">
        <v>38</v>
      </c>
      <c r="C31" s="5" t="n">
        <v>377</v>
      </c>
      <c r="D31" s="5" t="n">
        <v>837</v>
      </c>
      <c r="E31" s="5" t="n">
        <v>9218</v>
      </c>
      <c r="F31" s="7" t="n">
        <f aca="false">ROUND((C31+D31)/E31,5)</f>
        <v>0.1317</v>
      </c>
      <c r="G31" s="5" t="n">
        <f aca="false">C31+D31</f>
        <v>1214</v>
      </c>
      <c r="H31" s="7" t="n">
        <f aca="false">E31/SUM($E$2:$E$44)</f>
        <v>0.0136034142828471</v>
      </c>
      <c r="I31" s="7" t="n">
        <f aca="false">G31/SUM($G$2:$G$44)</f>
        <v>0.0204136539431646</v>
      </c>
    </row>
    <row r="32" customFormat="false" ht="15" hidden="false" customHeight="true" outlineLevel="0" collapsed="false">
      <c r="A32" s="5" t="n">
        <v>231</v>
      </c>
      <c r="B32" s="6" t="s">
        <v>39</v>
      </c>
      <c r="C32" s="5" t="n">
        <v>247</v>
      </c>
      <c r="D32" s="5" t="n">
        <v>480</v>
      </c>
      <c r="E32" s="5" t="n">
        <v>8643</v>
      </c>
      <c r="F32" s="7" t="n">
        <f aca="false">ROUND((C32+D32)/E32,5)</f>
        <v>0.08411</v>
      </c>
      <c r="G32" s="5" t="n">
        <f aca="false">C32+D32</f>
        <v>727</v>
      </c>
      <c r="H32" s="7" t="n">
        <f aca="false">E32/SUM($E$2:$E$44)</f>
        <v>0.0127548611029125</v>
      </c>
      <c r="I32" s="7" t="n">
        <f aca="false">G32/SUM($G$2:$G$44)</f>
        <v>0.0122246510845805</v>
      </c>
    </row>
    <row r="33" customFormat="false" ht="15" hidden="false" customHeight="true" outlineLevel="0" collapsed="false">
      <c r="A33" s="5" t="n">
        <v>232</v>
      </c>
      <c r="B33" s="6" t="s">
        <v>40</v>
      </c>
      <c r="C33" s="5" t="n">
        <v>124</v>
      </c>
      <c r="D33" s="5" t="n">
        <v>560</v>
      </c>
      <c r="E33" s="5" t="n">
        <v>6368</v>
      </c>
      <c r="F33" s="7" t="n">
        <f aca="false">ROUND((C33+D33)/E33,5)</f>
        <v>0.10741</v>
      </c>
      <c r="G33" s="5" t="n">
        <f aca="false">C33+D33</f>
        <v>684</v>
      </c>
      <c r="H33" s="7" t="n">
        <f aca="false">E33/SUM($E$2:$E$44)</f>
        <v>0.00939754199969305</v>
      </c>
      <c r="I33" s="7" t="n">
        <f aca="false">G33/SUM($G$2:$G$44)</f>
        <v>0.0115015974440895</v>
      </c>
    </row>
    <row r="34" customFormat="false" ht="15" hidden="false" customHeight="true" outlineLevel="0" collapsed="false">
      <c r="A34" s="5" t="n">
        <v>233</v>
      </c>
      <c r="B34" s="6" t="s">
        <v>41</v>
      </c>
      <c r="C34" s="5" t="n">
        <v>1045</v>
      </c>
      <c r="D34" s="5" t="n">
        <v>1791</v>
      </c>
      <c r="E34" s="5" t="n">
        <v>12580</v>
      </c>
      <c r="F34" s="7" t="n">
        <f aca="false">ROUND((C34+D34)/E34,5)</f>
        <v>0.22544</v>
      </c>
      <c r="G34" s="5" t="n">
        <f aca="false">C34+D34</f>
        <v>2836</v>
      </c>
      <c r="H34" s="7" t="n">
        <f aca="false">E34/SUM($E$2:$E$44)</f>
        <v>0.0185648678323082</v>
      </c>
      <c r="I34" s="7" t="n">
        <f aca="false">G34/SUM($G$2:$G$44)</f>
        <v>0.047687909870523</v>
      </c>
    </row>
    <row r="35" customFormat="false" ht="15" hidden="false" customHeight="true" outlineLevel="0" collapsed="false">
      <c r="A35" s="5" t="n">
        <v>234</v>
      </c>
      <c r="B35" s="6" t="s">
        <v>42</v>
      </c>
      <c r="C35" s="5" t="n">
        <v>224</v>
      </c>
      <c r="D35" s="5" t="n">
        <v>384</v>
      </c>
      <c r="E35" s="5" t="n">
        <v>12073</v>
      </c>
      <c r="F35" s="7" t="n">
        <f aca="false">ROUND((C35+D35)/E35,5)</f>
        <v>0.05036</v>
      </c>
      <c r="G35" s="5" t="n">
        <f aca="false">C35+D35</f>
        <v>608</v>
      </c>
      <c r="H35" s="7" t="n">
        <f aca="false">E35/SUM($E$2:$E$44)</f>
        <v>0.017816665289305</v>
      </c>
      <c r="I35" s="7" t="n">
        <f aca="false">G35/SUM($G$2:$G$44)</f>
        <v>0.010223642172524</v>
      </c>
    </row>
    <row r="36" customFormat="false" ht="15" hidden="false" customHeight="true" outlineLevel="0" collapsed="false">
      <c r="A36" s="5" t="n">
        <v>235</v>
      </c>
      <c r="B36" s="6" t="s">
        <v>43</v>
      </c>
      <c r="C36" s="5" t="n">
        <v>936</v>
      </c>
      <c r="D36" s="5" t="n">
        <v>1450</v>
      </c>
      <c r="E36" s="5" t="n">
        <v>21585</v>
      </c>
      <c r="F36" s="7" t="n">
        <f aca="false">ROUND((C36+D36)/E36,5)</f>
        <v>0.11054</v>
      </c>
      <c r="G36" s="5" t="n">
        <f aca="false">C36+D36</f>
        <v>2386</v>
      </c>
      <c r="H36" s="7" t="n">
        <f aca="false">E36/SUM($E$2:$E$44)</f>
        <v>0.0318539485024143</v>
      </c>
      <c r="I36" s="7" t="n">
        <f aca="false">G36/SUM($G$2:$G$44)</f>
        <v>0.0401210694467799</v>
      </c>
    </row>
    <row r="37" customFormat="false" ht="15" hidden="false" customHeight="true" outlineLevel="0" collapsed="false">
      <c r="A37" s="5" t="n">
        <v>236</v>
      </c>
      <c r="B37" s="6" t="s">
        <v>44</v>
      </c>
      <c r="C37" s="5" t="n">
        <v>90</v>
      </c>
      <c r="D37" s="5" t="n">
        <v>203</v>
      </c>
      <c r="E37" s="5" t="n">
        <v>8751</v>
      </c>
      <c r="F37" s="7" t="n">
        <f aca="false">ROUND((C37+D37)/E37,5)</f>
        <v>0.03348</v>
      </c>
      <c r="G37" s="5" t="n">
        <f aca="false">C37+D37</f>
        <v>293</v>
      </c>
      <c r="H37" s="7" t="n">
        <f aca="false">E37/SUM($E$2:$E$44)</f>
        <v>0.0129142415262742</v>
      </c>
      <c r="I37" s="7" t="n">
        <f aca="false">G37/SUM($G$2:$G$44)</f>
        <v>0.00492685387590382</v>
      </c>
    </row>
    <row r="38" customFormat="false" ht="15" hidden="false" customHeight="true" outlineLevel="0" collapsed="false">
      <c r="A38" s="5" t="n">
        <v>237</v>
      </c>
      <c r="B38" s="6" t="s">
        <v>45</v>
      </c>
      <c r="C38" s="5" t="n">
        <v>25</v>
      </c>
      <c r="D38" s="5" t="n">
        <v>55</v>
      </c>
      <c r="E38" s="5" t="n">
        <v>2972</v>
      </c>
      <c r="F38" s="7" t="n">
        <f aca="false">ROUND((C38+D38)/E38,5)</f>
        <v>0.02692</v>
      </c>
      <c r="G38" s="5" t="n">
        <f aca="false">C38+D38</f>
        <v>80</v>
      </c>
      <c r="H38" s="7" t="n">
        <f aca="false">E38/SUM($E$2:$E$44)</f>
        <v>0.00438591313176629</v>
      </c>
      <c r="I38" s="7" t="n">
        <f aca="false">G38/SUM($G$2:$G$44)</f>
        <v>0.0013452160753321</v>
      </c>
    </row>
    <row r="39" customFormat="false" ht="15" hidden="false" customHeight="true" outlineLevel="0" collapsed="false">
      <c r="A39" s="5" t="n">
        <v>238</v>
      </c>
      <c r="B39" s="6" t="s">
        <v>46</v>
      </c>
      <c r="C39" s="5" t="n">
        <v>122</v>
      </c>
      <c r="D39" s="5" t="n">
        <v>253</v>
      </c>
      <c r="E39" s="5" t="n">
        <v>4574</v>
      </c>
      <c r="F39" s="7" t="n">
        <f aca="false">ROUND((C39+D39)/E39,5)</f>
        <v>0.08199</v>
      </c>
      <c r="G39" s="5" t="n">
        <f aca="false">C39+D39</f>
        <v>375</v>
      </c>
      <c r="H39" s="7" t="n">
        <f aca="false">E39/SUM($E$2:$E$44)</f>
        <v>0.00675005607829711</v>
      </c>
      <c r="I39" s="7" t="n">
        <f aca="false">G39/SUM($G$2:$G$44)</f>
        <v>0.00630570035311922</v>
      </c>
    </row>
    <row r="40" customFormat="false" ht="15" hidden="false" customHeight="true" outlineLevel="0" collapsed="false">
      <c r="A40" s="5" t="n">
        <v>239</v>
      </c>
      <c r="B40" s="6" t="s">
        <v>47</v>
      </c>
      <c r="C40" s="5" t="n">
        <v>0</v>
      </c>
      <c r="D40" s="5" t="n">
        <v>0</v>
      </c>
      <c r="E40" s="5" t="n">
        <v>2511</v>
      </c>
      <c r="F40" s="7" t="n">
        <f aca="false">ROUND((C40+D40)/E40,5)</f>
        <v>0</v>
      </c>
      <c r="G40" s="5" t="n">
        <f aca="false">C40+D40</f>
        <v>0</v>
      </c>
      <c r="H40" s="7" t="n">
        <f aca="false">E40/SUM($E$2:$E$44)</f>
        <v>0.00370559484315786</v>
      </c>
      <c r="I40" s="7" t="n">
        <f aca="false">G40/SUM($G$2:$G$44)</f>
        <v>0</v>
      </c>
    </row>
    <row r="41" customFormat="false" ht="15" hidden="false" customHeight="true" outlineLevel="0" collapsed="false">
      <c r="A41" s="5" t="n">
        <v>240</v>
      </c>
      <c r="B41" s="6" t="s">
        <v>48</v>
      </c>
      <c r="C41" s="5" t="n">
        <v>0</v>
      </c>
      <c r="D41" s="5" t="n">
        <v>0</v>
      </c>
      <c r="E41" s="5" t="n">
        <v>9265</v>
      </c>
      <c r="F41" s="7" t="n">
        <f aca="false">ROUND((C41+D41)/E41,5)</f>
        <v>0</v>
      </c>
      <c r="G41" s="5" t="n">
        <f aca="false">C41+D41</f>
        <v>0</v>
      </c>
      <c r="H41" s="7" t="n">
        <f aca="false">E41/SUM($E$2:$E$44)</f>
        <v>0.0136727742819026</v>
      </c>
      <c r="I41" s="7" t="n">
        <f aca="false">G41/SUM($G$2:$G$44)</f>
        <v>0</v>
      </c>
    </row>
    <row r="42" customFormat="false" ht="15" hidden="false" customHeight="true" outlineLevel="0" collapsed="false">
      <c r="A42" s="5" t="n">
        <v>241</v>
      </c>
      <c r="B42" s="6" t="s">
        <v>49</v>
      </c>
      <c r="C42" s="5" t="n">
        <v>0</v>
      </c>
      <c r="D42" s="5" t="n">
        <v>0</v>
      </c>
      <c r="E42" s="5" t="n">
        <v>3452</v>
      </c>
      <c r="F42" s="7" t="n">
        <f aca="false">ROUND((C42+D42)/E42,5)</f>
        <v>0</v>
      </c>
      <c r="G42" s="5" t="n">
        <f aca="false">C42+D42</f>
        <v>0</v>
      </c>
      <c r="H42" s="7" t="n">
        <f aca="false">E42/SUM($E$2:$E$44)</f>
        <v>0.00509427056892908</v>
      </c>
      <c r="I42" s="7" t="n">
        <f aca="false">G42/SUM($G$2:$G$44)</f>
        <v>0</v>
      </c>
    </row>
    <row r="43" customFormat="false" ht="15" hidden="false" customHeight="true" outlineLevel="0" collapsed="false">
      <c r="A43" s="5" t="n">
        <v>242</v>
      </c>
      <c r="B43" s="6" t="s">
        <v>50</v>
      </c>
      <c r="C43" s="5" t="n">
        <v>0</v>
      </c>
      <c r="D43" s="5" t="n">
        <v>0</v>
      </c>
      <c r="E43" s="5" t="n">
        <v>6584</v>
      </c>
      <c r="F43" s="7" t="n">
        <f aca="false">ROUND((C43+D43)/E43,5)</f>
        <v>0</v>
      </c>
      <c r="G43" s="5" t="n">
        <f aca="false">C43+D43</f>
        <v>0</v>
      </c>
      <c r="H43" s="7" t="n">
        <f aca="false">E43/SUM($E$2:$E$44)</f>
        <v>0.0097163028464163</v>
      </c>
      <c r="I43" s="7" t="n">
        <f aca="false">G43/SUM($G$2:$G$44)</f>
        <v>0</v>
      </c>
    </row>
    <row r="44" customFormat="false" ht="15" hidden="false" customHeight="true" outlineLevel="0" collapsed="false">
      <c r="A44" s="5" t="n">
        <v>243</v>
      </c>
      <c r="B44" s="6" t="s">
        <v>51</v>
      </c>
      <c r="C44" s="5" t="n">
        <v>0</v>
      </c>
      <c r="D44" s="5" t="n">
        <v>0</v>
      </c>
      <c r="E44" s="5" t="n">
        <v>11569</v>
      </c>
      <c r="F44" s="7" t="n">
        <f aca="false">ROUND((C44+D44)/E44,5)</f>
        <v>0</v>
      </c>
      <c r="G44" s="5" t="n">
        <f aca="false">C44+D44</f>
        <v>0</v>
      </c>
      <c r="H44" s="7" t="n">
        <f aca="false">E44/SUM($E$2:$E$44)</f>
        <v>0.0170728899802841</v>
      </c>
      <c r="I44" s="7" t="n">
        <f aca="false">G44/SUM($G$2:$G$44)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2026-07-25T02:19:10Z</dcterms:created>
  <dc:creator>openpyxl</dc:creator>
  <dc:description/>
  <dc:language>en-US</dc:language>
  <cp:lastModifiedBy/>
  <dcterms:modified xsi:type="dcterms:W3CDTF">2026-07-25T02:24:11Z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